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Bricogeek" sheetId="1" r:id="rId1"/>
    <sheet name="Electan" sheetId="2" r:id="rId2"/>
    <sheet name="Farnell" sheetId="3" r:id="rId3"/>
    <sheet name="Diotronic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<sst xmlns="http://schemas.openxmlformats.org/spreadsheetml/2006/main" count="26" uniqueCount="8">
  <si>
    <t>Name</t>
  </si>
  <si>
    <t>Price</t>
  </si>
  <si>
    <t>Units</t>
  </si>
  <si>
    <t>Total</t>
  </si>
  <si>
    <t>URL</t>
  </si>
  <si>
    <t>TOTAL</t>
  </si>
  <si>
    <t>Motores DC</t>
  </si>
  <si>
    <t>Ras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</si>
</sst>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* #,##0.00\ &quot;€&quot;_-;\-* #,##0.00\ &quot;€&quot;_-;_-* &quot;-&quot;??\ &quot;€&quot;_-;_-@_-"/>
    <numFmt numFmtId="179" formatCode="_([$€-2]\ * #,##0.00_);_([$€-2]\ * \(#,##0.00\);_([$€-2]\ * &quot;-&quot;??_);_(@_)"/>
  </numFmts>
  <fonts count="31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2"/>
      <color rgb="FF1155CC"/>
      <name val="Calibri"/>
      <charset val="134"/>
    </font>
    <font>
      <u/>
      <sz val="12"/>
      <color theme="1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Calibri"/>
      <charset val="134"/>
      <scheme val="minor"/>
    </font>
    <font>
      <sz val="12"/>
      <color theme="1"/>
      <name val="Calibri"/>
      <charset val="134"/>
    </font>
    <font>
      <sz val="12"/>
      <color theme="1"/>
      <name val="Calibri"/>
      <charset val="134"/>
      <scheme val="minor"/>
    </font>
    <font>
      <sz val="10"/>
      <color rgb="FF000000"/>
      <name val="Arial"/>
      <charset val="134"/>
    </font>
    <font>
      <sz val="12"/>
      <color theme="1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178" fontId="26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27" fillId="0" borderId="0"/>
    <xf numFmtId="0" fontId="28" fillId="0" borderId="0"/>
    <xf numFmtId="0" fontId="26" fillId="0" borderId="0"/>
    <xf numFmtId="0" fontId="29" fillId="0" borderId="0"/>
    <xf numFmtId="0" fontId="30" fillId="0" borderId="0"/>
  </cellStyleXfs>
  <cellXfs count="15">
    <xf numFmtId="0" fontId="0" fillId="0" borderId="0" xfId="0"/>
    <xf numFmtId="17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79" fontId="1" fillId="0" borderId="0" xfId="0" applyNumberFormat="1" applyFont="1" applyAlignment="1">
      <alignment horizontal="center"/>
    </xf>
    <xf numFmtId="0" fontId="0" fillId="0" borderId="0" xfId="0" applyNumberFormat="1"/>
    <xf numFmtId="0" fontId="0" fillId="0" borderId="0" xfId="0" applyFont="1" applyAlignment="1"/>
    <xf numFmtId="0" fontId="0" fillId="0" borderId="0" xfId="0" applyNumberFormat="1" applyAlignment="1">
      <alignment horizontal="center"/>
    </xf>
    <xf numFmtId="0" fontId="2" fillId="0" borderId="0" xfId="53" applyFont="1"/>
    <xf numFmtId="0" fontId="3" fillId="0" borderId="0" xfId="50"/>
    <xf numFmtId="0" fontId="4" fillId="0" borderId="0" xfId="53" applyFont="1"/>
    <xf numFmtId="0" fontId="0" fillId="2" borderId="0" xfId="0" applyFill="1"/>
    <xf numFmtId="179" fontId="5" fillId="2" borderId="0" xfId="0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0" fontId="5" fillId="2" borderId="0" xfId="0" applyFont="1" applyFill="1"/>
  </cellXfs>
  <cellStyles count="5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urrency 2" xfId="49"/>
    <cellStyle name="Hyperlink 2" xfId="50"/>
    <cellStyle name="Normal 2" xfId="51"/>
    <cellStyle name="Normal 3" xfId="52"/>
    <cellStyle name="Normal 4" xfId="53"/>
    <cellStyle name="Normal 5" xfId="54"/>
    <cellStyle name="Normal 6" xfId="55"/>
  </cellStyles>
  <dxfs count="16">
    <dxf>
      <font>
        <name val="Calibri"/>
        <scheme val="none"/>
        <family val="2"/>
        <strike val="0"/>
        <sz val="11"/>
      </font>
      <numFmt numFmtId="179" formatCode="_([$€-2]\ * #,##0.00_);_([$€-2]\ * \(#,##0.00\);_([$€-2]\ * &quot;-&quot;??_);_(@_)"/>
      <alignment horizontal="center"/>
    </dxf>
    <dxf>
      <font>
        <name val="Calibri"/>
        <scheme val="none"/>
        <family val="2"/>
        <strike val="0"/>
        <sz val="11"/>
      </font>
      <numFmt numFmtId="2" formatCode="0.00"/>
      <alignment horizontal="center"/>
    </dxf>
    <dxf>
      <font>
        <name val="Calibri"/>
        <scheme val="none"/>
        <family val="2"/>
        <strike val="0"/>
        <sz val="11"/>
      </font>
      <numFmt numFmtId="179" formatCode="_([$€-2]\ * #,##0.00_);_([$€-2]\ * \(#,##0.00\);_([$€-2]\ * &quot;-&quot;??_);_(@_)"/>
      <alignment horizontal="center"/>
    </dxf>
    <dxf>
      <font>
        <name val="Calibri"/>
        <scheme val="none"/>
        <family val="2"/>
        <strike val="0"/>
        <sz val="11"/>
      </font>
    </dxf>
    <dxf>
      <font>
        <name val="Calibri"/>
        <scheme val="none"/>
        <family val="2"/>
        <strike val="0"/>
        <sz val="11"/>
      </font>
      <numFmt numFmtId="179" formatCode="_([$€-2]\ * #,##0.00_);_([$€-2]\ * \(#,##0.00\);_([$€-2]\ * &quot;-&quot;??_);_(@_)"/>
      <alignment horizontal="center"/>
    </dxf>
    <dxf>
      <font>
        <name val="Calibri"/>
        <scheme val="none"/>
        <family val="2"/>
        <strike val="0"/>
        <sz val="11"/>
      </font>
      <numFmt numFmtId="2" formatCode="0.00"/>
      <alignment horizontal="center"/>
    </dxf>
    <dxf>
      <font>
        <name val="Calibri"/>
        <scheme val="none"/>
        <family val="2"/>
        <strike val="0"/>
        <sz val="11"/>
      </font>
      <numFmt numFmtId="179" formatCode="_([$€-2]\ * #,##0.00_);_([$€-2]\ * \(#,##0.00\);_([$€-2]\ * &quot;-&quot;??_);_(@_)"/>
      <alignment horizontal="center"/>
    </dxf>
    <dxf>
      <font>
        <name val="Calibri"/>
        <scheme val="none"/>
        <family val="2"/>
        <strike val="0"/>
        <sz val="11"/>
      </font>
    </dxf>
    <dxf>
      <font>
        <name val="Calibri"/>
        <scheme val="none"/>
        <family val="2"/>
        <strike val="0"/>
        <sz val="11"/>
      </font>
      <numFmt numFmtId="179" formatCode="_([$€-2]\ * #,##0.00_);_([$€-2]\ * \(#,##0.00\);_([$€-2]\ * &quot;-&quot;??_);_(@_)"/>
      <alignment horizontal="center"/>
    </dxf>
    <dxf>
      <font>
        <name val="Calibri"/>
        <scheme val="none"/>
        <family val="2"/>
        <strike val="0"/>
        <sz val="11"/>
      </font>
      <numFmt numFmtId="2" formatCode="0.00"/>
      <alignment horizontal="center"/>
    </dxf>
    <dxf>
      <font>
        <name val="Calibri"/>
        <scheme val="none"/>
        <family val="2"/>
        <strike val="0"/>
        <sz val="11"/>
      </font>
      <numFmt numFmtId="179" formatCode="_([$€-2]\ * #,##0.00_);_([$€-2]\ * \(#,##0.00\);_([$€-2]\ * &quot;-&quot;??_);_(@_)"/>
      <alignment horizontal="center"/>
    </dxf>
    <dxf>
      <font>
        <name val="Calibri"/>
        <scheme val="none"/>
        <family val="2"/>
        <strike val="0"/>
        <sz val="11"/>
      </font>
    </dxf>
    <dxf>
      <font>
        <name val="Calibri"/>
        <scheme val="none"/>
        <family val="2"/>
        <strike val="0"/>
        <sz val="11"/>
      </font>
      <numFmt numFmtId="179" formatCode="_([$€-2]\ * #,##0.00_);_([$€-2]\ * \(#,##0.00\);_([$€-2]\ * &quot;-&quot;??_);_(@_)"/>
      <alignment horizontal="center"/>
    </dxf>
    <dxf>
      <font>
        <name val="Calibri"/>
        <scheme val="none"/>
        <family val="2"/>
        <strike val="0"/>
        <sz val="11"/>
      </font>
      <numFmt numFmtId="2" formatCode="0.00"/>
      <alignment horizontal="center"/>
    </dxf>
    <dxf>
      <font>
        <name val="Calibri"/>
        <scheme val="none"/>
        <family val="2"/>
        <strike val="0"/>
        <sz val="11"/>
      </font>
      <numFmt numFmtId="0" formatCode="General"/>
      <alignment horizontal="center"/>
    </dxf>
    <dxf>
      <font>
        <name val="Calibri"/>
        <scheme val="none"/>
        <family val="2"/>
        <strike val="0"/>
        <sz val="1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customXml" Target="../customXml/item4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10" totalsRowCount="1">
  <autoFilter xmlns:etc="http://www.wps.cn/officeDocument/2017/etCustomData" ref="A1:E9" etc:filterBottomFollowUsedRange="0"/>
  <tableColumns count="5">
    <tableColumn id="1" name="Name" totalsRowLabel="TOTAL"/>
    <tableColumn id="3" name="Price" dataDxfId="0"/>
    <tableColumn id="4" name="Units" dataDxfId="1"/>
    <tableColumn id="5" name="Total" dataDxfId="2" totalsRowFunction="custom">
      <totalsRowFormula>SUM(Table1[URL])</totalsRowFormula>
    </tableColumn>
    <tableColumn id="6" name="URL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E10" totalsRowCount="1">
  <autoFilter xmlns:etc="http://www.wps.cn/officeDocument/2017/etCustomData" ref="A1:E9" etc:filterBottomFollowUsedRange="0"/>
  <tableColumns count="5">
    <tableColumn id="1" name="Name" totalsRowLabel="TOTAL"/>
    <tableColumn id="3" name="Price" dataDxfId="4"/>
    <tableColumn id="4" name="Units" dataDxfId="5"/>
    <tableColumn id="5" name="Total" dataDxfId="6" totalsRowFunction="custom">
      <totalsRowFormula>SUM(Table13[URL])</totalsRowFormula>
    </tableColumn>
    <tableColumn id="6" name="URL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14" displayName="Table14" ref="A1:E10" totalsRowCount="1">
  <autoFilter xmlns:etc="http://www.wps.cn/officeDocument/2017/etCustomData" ref="A1:E9" etc:filterBottomFollowUsedRange="0"/>
  <tableColumns count="5">
    <tableColumn id="1" name="Name" totalsRowLabel="TOTAL"/>
    <tableColumn id="3" name="Price" dataDxfId="8"/>
    <tableColumn id="4" name="Units" dataDxfId="9"/>
    <tableColumn id="5" name="Total" dataDxfId="10" totalsRowFunction="custom">
      <totalsRowFormula>SUM(Table14[URL])</totalsRowFormula>
    </tableColumn>
    <tableColumn id="6" name="URL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15" displayName="Table15" ref="A1:E10" totalsRowCount="1">
  <autoFilter xmlns:etc="http://www.wps.cn/officeDocument/2017/etCustomData" ref="A1:E9" etc:filterBottomFollowUsedRange="0"/>
  <tableColumns count="5">
    <tableColumn id="1" name="Name" totalsRowLabel="TOTAL"/>
    <tableColumn id="3" name="Price" dataDxfId="12"/>
    <tableColumn id="4" name="Units" dataDxfId="13"/>
    <tableColumn id="5" name="Total" dataDxfId="14" totalsRowFunction="custom">
      <calculatedColumnFormula>B2*C2</calculatedColumnFormula>
      <totalsRowFormula>SUM(Table15[URL])</totalsRowFormula>
    </tableColumn>
    <tableColumn id="6" name="URL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A1" sqref="$A1:$XFD1048576"/>
    </sheetView>
  </sheetViews>
  <sheetFormatPr defaultColWidth="8.85185185185185" defaultRowHeight="14.4" outlineLevelCol="4"/>
  <cols>
    <col min="1" max="1" width="38.4259259259259" customWidth="1"/>
    <col min="2" max="2" width="11.4259259259259" style="1" customWidth="1"/>
    <col min="3" max="3" width="17" style="2" customWidth="1"/>
    <col min="4" max="4" width="10.8518518518519" style="1" customWidth="1"/>
    <col min="5" max="5" width="47.4259259259259" customWidth="1"/>
  </cols>
  <sheetData>
    <row r="1" spans="1:5">
      <c r="A1" t="s">
        <v>0</v>
      </c>
      <c r="B1" s="1" t="s">
        <v>1</v>
      </c>
      <c r="C1" s="2" t="s">
        <v>2</v>
      </c>
      <c r="D1" s="1" t="s">
        <v>3</v>
      </c>
      <c r="E1" t="s">
        <v>4</v>
      </c>
    </row>
    <row r="2" spans="1:5">
      <c r="A2" s="3"/>
      <c r="B2" s="4"/>
      <c r="D2"/>
      <c r="E2" s="6"/>
    </row>
    <row r="3" spans="1:5">
      <c r="A3" s="3"/>
      <c r="B3" s="4"/>
    </row>
    <row r="4" spans="1:5">
      <c r="A4" s="3"/>
      <c r="B4" s="4"/>
    </row>
    <row r="5" spans="1:5">
      <c r="A5" s="3"/>
      <c r="B5" s="4"/>
    </row>
    <row r="6" spans="1:5">
      <c r="A6" s="3"/>
      <c r="B6" s="4"/>
    </row>
    <row r="7" ht="15.6" spans="1:5">
      <c r="A7" s="3"/>
      <c r="E7" s="8"/>
    </row>
    <row r="8" ht="15.6" spans="1:5">
      <c r="A8" s="3"/>
      <c r="E8" s="9"/>
    </row>
    <row r="9" ht="15.6" spans="1:5">
      <c r="A9" s="3"/>
      <c r="E9" s="10"/>
    </row>
    <row r="10" spans="1:5">
      <c r="A10" s="11" t="s">
        <v>5</v>
      </c>
      <c r="B10" s="12"/>
      <c r="C10" s="13"/>
      <c r="D10" s="14">
        <f>SUM(Table1[URL])</f>
        <v>0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E21" sqref="E21"/>
    </sheetView>
  </sheetViews>
  <sheetFormatPr defaultColWidth="8.85185185185185" defaultRowHeight="14.4" outlineLevelCol="4"/>
  <cols>
    <col min="1" max="1" width="8.57407407407407" customWidth="1"/>
    <col min="2" max="2" width="11.4259259259259" customWidth="1"/>
    <col min="3" max="3" width="10.287037037037" customWidth="1"/>
    <col min="4" max="4" width="11.4259259259259" customWidth="1"/>
    <col min="5" max="5" width="6.71296296296296" customWidth="1"/>
  </cols>
  <sheetData>
    <row r="1" spans="1:5">
      <c r="A1" t="s">
        <v>0</v>
      </c>
      <c r="B1" s="1" t="s">
        <v>1</v>
      </c>
      <c r="C1" s="2" t="s">
        <v>2</v>
      </c>
      <c r="D1" s="1" t="s">
        <v>3</v>
      </c>
      <c r="E1" t="s">
        <v>4</v>
      </c>
    </row>
    <row r="2" spans="1:5">
      <c r="A2" s="3"/>
      <c r="B2" s="4"/>
      <c r="C2" s="2"/>
      <c r="E2" s="6"/>
    </row>
    <row r="3" spans="1:5">
      <c r="A3" s="3"/>
      <c r="B3" s="4"/>
      <c r="C3" s="2"/>
      <c r="D3" s="1"/>
    </row>
    <row r="4" spans="1:5">
      <c r="A4" s="3"/>
      <c r="B4" s="4"/>
      <c r="C4" s="2"/>
      <c r="D4" s="1"/>
    </row>
    <row r="5" spans="1:5">
      <c r="A5" s="3"/>
      <c r="B5" s="4"/>
      <c r="C5" s="2"/>
      <c r="D5" s="1"/>
    </row>
    <row r="6" spans="1:5">
      <c r="A6" s="3"/>
      <c r="B6" s="4"/>
      <c r="C6" s="2"/>
      <c r="D6" s="1"/>
    </row>
    <row r="7" ht="15.6" spans="1:5">
      <c r="A7" s="3"/>
      <c r="B7" s="1"/>
      <c r="C7" s="2"/>
      <c r="D7" s="1"/>
      <c r="E7" s="8"/>
    </row>
    <row r="8" ht="15.6" spans="1:5">
      <c r="A8" s="3"/>
      <c r="B8" s="1"/>
      <c r="C8" s="2"/>
      <c r="D8" s="1"/>
      <c r="E8" s="9"/>
    </row>
    <row r="9" ht="15.6" spans="1:5">
      <c r="A9" s="3"/>
      <c r="B9" s="1"/>
      <c r="C9" s="2"/>
      <c r="D9" s="1"/>
      <c r="E9" s="10"/>
    </row>
    <row r="10" spans="1:5">
      <c r="A10" s="11" t="s">
        <v>5</v>
      </c>
      <c r="B10" s="12"/>
      <c r="C10" s="13"/>
      <c r="D10" s="14">
        <f>SUM(Table13[URL])</f>
        <v>0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D18" sqref="D18"/>
    </sheetView>
  </sheetViews>
  <sheetFormatPr defaultColWidth="8.85185185185185" defaultRowHeight="14.4" outlineLevelCol="4"/>
  <sheetData>
    <row r="1" spans="1:5">
      <c r="A1" t="s">
        <v>0</v>
      </c>
      <c r="B1" s="1" t="s">
        <v>1</v>
      </c>
      <c r="C1" s="2" t="s">
        <v>2</v>
      </c>
      <c r="D1" s="1" t="s">
        <v>3</v>
      </c>
      <c r="E1" t="s">
        <v>4</v>
      </c>
    </row>
    <row r="2" spans="1:5">
      <c r="A2" s="3"/>
      <c r="B2" s="4"/>
      <c r="C2" s="2"/>
      <c r="E2" s="6"/>
    </row>
    <row r="3" spans="1:5">
      <c r="A3" s="3"/>
      <c r="B3" s="4"/>
      <c r="C3" s="2"/>
      <c r="D3" s="1"/>
    </row>
    <row r="4" spans="1:5">
      <c r="A4" s="3"/>
      <c r="B4" s="4"/>
      <c r="C4" s="2"/>
      <c r="D4" s="1"/>
    </row>
    <row r="5" spans="1:5">
      <c r="A5" s="3"/>
      <c r="B5" s="4"/>
      <c r="C5" s="2"/>
      <c r="D5" s="1"/>
    </row>
    <row r="6" spans="1:5">
      <c r="A6" s="3"/>
      <c r="B6" s="4"/>
      <c r="C6" s="2"/>
      <c r="D6" s="1"/>
    </row>
    <row r="7" ht="15.6" spans="1:5">
      <c r="A7" s="3"/>
      <c r="B7" s="1"/>
      <c r="C7" s="2"/>
      <c r="D7" s="1"/>
      <c r="E7" s="8"/>
    </row>
    <row r="8" ht="15.6" spans="1:5">
      <c r="A8" s="3"/>
      <c r="B8" s="1"/>
      <c r="C8" s="2"/>
      <c r="D8" s="1"/>
      <c r="E8" s="9"/>
    </row>
    <row r="9" ht="15.6" spans="1:5">
      <c r="A9" s="3"/>
      <c r="B9" s="1"/>
      <c r="C9" s="2"/>
      <c r="D9" s="1"/>
      <c r="E9" s="10"/>
    </row>
    <row r="10" spans="1:5">
      <c r="A10" s="11" t="s">
        <v>5</v>
      </c>
      <c r="B10" s="12"/>
      <c r="C10" s="13"/>
      <c r="D10" s="14">
        <f>SUM(Table14[URL])</f>
        <v>0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A3" sqref="A3"/>
    </sheetView>
  </sheetViews>
  <sheetFormatPr defaultColWidth="8.85185185185185" defaultRowHeight="14.4" outlineLevelCol="4"/>
  <cols>
    <col min="1" max="1" width="38.4259259259259" customWidth="1"/>
    <col min="2" max="2" width="11.4259259259259" style="1" customWidth="1"/>
    <col min="3" max="3" width="17" style="2" customWidth="1"/>
    <col min="4" max="4" width="10.8518518518519" style="1" customWidth="1"/>
    <col min="5" max="5" width="47.4259259259259" customWidth="1"/>
  </cols>
  <sheetData>
    <row r="1" spans="1:5">
      <c r="A1" t="s">
        <v>0</v>
      </c>
      <c r="B1" s="1" t="s">
        <v>1</v>
      </c>
      <c r="C1" s="2" t="s">
        <v>2</v>
      </c>
      <c r="D1" s="1" t="s">
        <v>3</v>
      </c>
      <c r="E1" t="s">
        <v>4</v>
      </c>
    </row>
    <row r="2" spans="1:5">
      <c r="A2" s="3" t="s">
        <v>6</v>
      </c>
      <c r="B2" s="4">
        <v>3.5</v>
      </c>
      <c r="C2" s="2">
        <v>4</v>
      </c>
      <c r="D2" s="5">
        <f t="shared" ref="D2:D9" si="0">B2*C2</f>
        <v>14</v>
      </c>
      <c r="E2" s="6"/>
    </row>
    <row r="3" spans="1:5">
      <c r="A3" s="3" t="s">
        <v>7</v>
      </c>
      <c r="B3" s="4"/>
      <c r="D3" s="7">
        <f t="shared" si="0"/>
        <v>0</v>
      </c>
    </row>
    <row r="4" spans="1:5">
      <c r="A4" s="3"/>
      <c r="B4" s="4"/>
      <c r="D4" s="7">
        <f t="shared" si="0"/>
        <v>0</v>
      </c>
    </row>
    <row r="5" spans="1:5">
      <c r="A5" s="3"/>
      <c r="B5" s="4"/>
      <c r="D5" s="7">
        <f t="shared" si="0"/>
        <v>0</v>
      </c>
    </row>
    <row r="6" spans="1:5">
      <c r="A6" s="3"/>
      <c r="B6" s="4"/>
      <c r="D6" s="7">
        <f t="shared" si="0"/>
        <v>0</v>
      </c>
    </row>
    <row r="7" ht="15.6" spans="1:5">
      <c r="A7" s="3"/>
      <c r="D7" s="7">
        <f t="shared" si="0"/>
        <v>0</v>
      </c>
      <c r="E7" s="8"/>
    </row>
    <row r="8" ht="15.6" spans="1:5">
      <c r="A8" s="3"/>
      <c r="D8" s="7">
        <f t="shared" si="0"/>
        <v>0</v>
      </c>
      <c r="E8" s="9"/>
    </row>
    <row r="9" ht="15.6" spans="1:5">
      <c r="A9" s="3"/>
      <c r="D9" s="7">
        <f t="shared" si="0"/>
        <v>0</v>
      </c>
      <c r="E9" s="10"/>
    </row>
    <row r="10" spans="1:5">
      <c r="A10" s="11" t="s">
        <v>5</v>
      </c>
      <c r="B10" s="12"/>
      <c r="C10" s="13"/>
      <c r="D10" s="14">
        <f>SUM(Table15[URL])</f>
        <v>0</v>
      </c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<?xml version="1.0" encoding="utf-8"?>
<DataMashup xmlns="http://schemas.microsoft.com/DataMashup">AAAAAGw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oike4DgAAABEAAAATAAAARm9ybXVsYXMvU2VjdGlvbjEubStOTS7JzM9TCIbQhtY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aAQAAW0NvbnRlbnRfVHlwZXNdLnhtbFBLAQIUAAoAAAAAAIdO4kAAAAAAAAAAAAAAAAAHAAAAAAAAAAAAEAAAAAAAAABDb25maWcvUEsBAhQAFAAAAAgAh07iQBI4/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QEAAAAAAABzA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AP4H/WnXZ5T6CJnQZfHKrhAAAAAAIAAAAAABBmAAAAAQAAIAAAAFRgvY8raLEDQ9jHmqSO1Uw5SEGEXrxQ/uLWnNMRreNFAAAAAA6AAAAAAgAAIAAAAC62lDlhdf2YA4bM75M5eTYr5OUb8EH8jbbPdvb4teU+UAAAAIl3KY8JsASNSdhqOfyddLcfplObsV48OdfTsVLDCQM+K1oUYFp7KZXbknfgQct6RktqhvHLxYRDG7hEMdRrjeIVIfiXLoHrWjhkcBIQJ0jSQAAAAKqNT3Jl8ngdlKPLhY0TCAnwLwRpzMLFPrdjvCsUD7FklOTUrFwyJmoG3JnvFsa/9Ewr/vNNscXNMe18Xz49RNE=</DataMashup>
</file>

<file path=customXml/itemProps1.xml><?xml version="1.0" encoding="utf-8"?>
<ds:datastoreItem xmlns:ds="http://schemas.openxmlformats.org/officeDocument/2006/customXml" ds:itemID="{5E3B53DF-F3B4-49F9-99F1-EC9507910196}">
  <ds:schemaRefs/>
</ds:datastoreItem>
</file>

<file path=customXml/itemProps2.xml><?xml version="1.0" encoding="utf-8"?>
<ds:datastoreItem xmlns:ds="http://schemas.openxmlformats.org/officeDocument/2006/customXml" ds:itemID="{D3A0C204-4765-4C43-BDD8-80795A79E271}">
  <ds:schemaRefs/>
</ds:datastoreItem>
</file>

<file path=customXml/itemProps3.xml><?xml version="1.0" encoding="utf-8"?>
<ds:datastoreItem xmlns:ds="http://schemas.openxmlformats.org/officeDocument/2006/customXml" ds:itemID="{8E11BA25-83B2-4A69-A1A1-6B8B9C254CC4}">
  <ds:schemaRefs/>
</ds:datastoreItem>
</file>

<file path=customXml/itemProps4.xml><?xml version="1.0" encoding="utf-8"?>
<ds:datastoreItem xmlns:ds="http://schemas.openxmlformats.org/officeDocument/2006/customXml" ds:itemID="{79B70125-105A-4AC2-BC2B-6DEB5E982B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Bricogeek</vt:lpstr>
      <vt:lpstr>Electan</vt:lpstr>
      <vt:lpstr>Farnell</vt:lpstr>
      <vt:lpstr>Diotronic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Vernon Stanley Albayeros Duarte</dc:creator>
  <cp:lastModifiedBy>marcs</cp:lastModifiedBy>
  <dcterms:created xsi:type="dcterms:W3CDTF">2022-03-29T12:48:00Z</dcterms:created>
  <dcterms:modified xsi:type="dcterms:W3CDTF">2026-03-25T08:07:09Z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0x0101004854BA6528C73A499BC16285B8E173DC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  <property fmtid="{D5CDD505-2E9C-101B-9397-08002B2CF9AE}" pid="5" name="ICV">
    <vt:lpwstr>C4A78D84455746DAA1B85B8C8F6BAD83_12</vt:lpwstr>
  </property>
</Properties>
</file>